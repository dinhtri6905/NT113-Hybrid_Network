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ỔNG QUAN" sheetId="1" state="visible" r:id="rId1"/>
    <sheet xmlns:r="http://schemas.openxmlformats.org/officeDocument/2006/relationships" name="02_LỘ TRÌNH 8 PHASE" sheetId="2" state="visible" r:id="rId2"/>
    <sheet xmlns:r="http://schemas.openxmlformats.org/officeDocument/2006/relationships" name="03_AWS_SERVICES" sheetId="3" state="visible" r:id="rId3"/>
    <sheet xmlns:r="http://schemas.openxmlformats.org/officeDocument/2006/relationships" name="04_RISK_REGISTER" sheetId="4" state="visible" r:id="rId4"/>
    <sheet xmlns:r="http://schemas.openxmlformats.org/officeDocument/2006/relationships" name="05_CHI_PHÍ_AWS" sheetId="5" state="visible" r:id="rId5"/>
    <sheet xmlns:r="http://schemas.openxmlformats.org/officeDocument/2006/relationships" name="06_CHECKLIST_NGHIỆM_TH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C55A11"/>
      <sz val="11"/>
    </font>
    <font>
      <name val="Arial"/>
      <b val="1"/>
      <color rgb="001E3A5F"/>
      <sz val="10"/>
    </font>
    <font>
      <name val="Arial"/>
      <color rgb="00000000"/>
      <sz val="10"/>
    </font>
    <font>
      <name val="Arial"/>
      <b val="1"/>
      <color rgb="002E75B6"/>
      <sz val="10"/>
    </font>
    <font>
      <name val="Arial"/>
      <b val="1"/>
      <color rgb="00FFFFFF"/>
      <sz val="14"/>
    </font>
    <font>
      <name val="Arial"/>
      <b val="1"/>
      <color rgb="00888888"/>
      <sz val="10"/>
    </font>
    <font>
      <name val="Arial"/>
      <b val="1"/>
      <color rgb="00154360"/>
      <sz val="10"/>
    </font>
    <font>
      <name val="Arial"/>
      <b val="1"/>
      <color rgb="00375623"/>
      <sz val="10"/>
    </font>
    <font>
      <name val="Arial"/>
      <b val="1"/>
      <color rgb="00641E16"/>
      <sz val="10"/>
    </font>
    <font>
      <name val="Arial"/>
      <b val="1"/>
      <color rgb="00C55A11"/>
      <sz val="10"/>
    </font>
    <font>
      <name val="Arial"/>
      <b val="1"/>
      <color rgb="001E8449"/>
      <sz val="10"/>
    </font>
    <font>
      <name val="Arial"/>
      <b val="1"/>
      <color rgb="00784212"/>
      <sz val="10"/>
    </font>
    <font>
      <name val="Arial"/>
      <b val="1"/>
      <color rgb="001A5276"/>
      <sz val="10"/>
    </font>
    <font>
      <name val="Arial"/>
      <b val="1"/>
      <color rgb="004A235A"/>
      <sz val="10"/>
    </font>
    <font>
      <name val="Arial"/>
      <b val="1"/>
      <color rgb="000B5345"/>
      <sz val="10"/>
    </font>
    <font>
      <name val="Arial"/>
      <b val="1"/>
      <color rgb="00515A5A"/>
      <sz val="10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color rgb="00375623"/>
      <sz val="10"/>
    </font>
    <font>
      <name val="Arial"/>
      <color rgb="00555555"/>
      <sz val="10"/>
    </font>
    <font>
      <name val="Arial"/>
      <b val="1"/>
      <color rgb="00FFFFFF"/>
      <sz val="12"/>
    </font>
    <font>
      <name val="Arial"/>
      <b val="1"/>
      <color rgb="007D4A00"/>
      <sz val="10"/>
    </font>
    <font>
      <name val="Arial"/>
      <b val="1"/>
      <color rgb="007D4A00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0F0"/>
      </patternFill>
    </fill>
    <fill>
      <patternFill patternType="solid">
        <fgColor rgb="00C00000"/>
      </patternFill>
    </fill>
    <fill>
      <patternFill patternType="solid">
        <fgColor rgb="00FFD7D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D966"/>
      </patternFill>
    </fill>
    <fill>
      <patternFill patternType="solid">
        <fgColor rgb="00375623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/>
      <right/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right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righ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right" vertical="center" wrapText="1"/>
    </xf>
    <xf numFmtId="0" fontId="10" fillId="6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right" vertical="center" wrapText="1"/>
    </xf>
    <xf numFmtId="0" fontId="0" fillId="0" borderId="5" pivotButton="0" quotePrefix="0" xfId="0"/>
    <xf numFmtId="0" fontId="18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3" fontId="21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/>
    </xf>
    <xf numFmtId="3" fontId="21" fillId="6" borderId="1" applyAlignment="1" pivotButton="0" quotePrefix="0" xfId="0">
      <alignment horizontal="right" vertical="center"/>
    </xf>
    <xf numFmtId="0" fontId="22" fillId="6" borderId="1" applyAlignment="1" pivotButton="0" quotePrefix="0" xfId="0">
      <alignment horizontal="left" vertical="center" wrapText="1"/>
    </xf>
    <xf numFmtId="164" fontId="23" fillId="4" borderId="1" applyAlignment="1" pivotButton="0" quotePrefix="0" xfId="0">
      <alignment horizontal="right" vertical="center"/>
    </xf>
    <xf numFmtId="3" fontId="23" fillId="4" borderId="1" applyAlignment="1" pivotButton="0" quotePrefix="0" xfId="0">
      <alignment horizontal="right" vertical="center"/>
    </xf>
    <xf numFmtId="0" fontId="24" fillId="12" borderId="1" applyAlignment="1" pivotButton="0" quotePrefix="0" xfId="0">
      <alignment horizontal="right" vertical="center" wrapText="1"/>
    </xf>
    <xf numFmtId="164" fontId="25" fillId="12" borderId="1" applyAlignment="1" pivotButton="0" quotePrefix="0" xfId="0">
      <alignment horizontal="right" vertical="center"/>
    </xf>
    <xf numFmtId="3" fontId="25" fillId="12" borderId="1" applyAlignment="1" pivotButton="0" quotePrefix="0" xfId="0">
      <alignment horizontal="right" vertical="center"/>
    </xf>
    <xf numFmtId="0" fontId="24" fillId="12" borderId="1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0" customWidth="1" min="3" max="3"/>
    <col width="20" customWidth="1" min="4" max="4"/>
    <col width="15" customWidth="1" min="5" max="5"/>
  </cols>
  <sheetData>
    <row r="1" ht="30" customHeight="1">
      <c r="A1" s="1" t="inlineStr">
        <is>
          <t>VINHEALTH MEDICAL GROUP — CLOUD MIGRATION MASTER PLAN</t>
        </is>
      </c>
    </row>
    <row r="2" ht="20" customHeight="1">
      <c r="A2" s="2" t="inlineStr">
        <is>
          <t>Full Cloud Migration: On-Premise + EVE-NG → AWS Native | NT113 - Nhóm 15</t>
        </is>
      </c>
    </row>
    <row r="3">
      <c r="A3" t="inlineStr"/>
    </row>
    <row r="4">
      <c r="A4" s="3" t="inlineStr">
        <is>
          <t>Thông tin</t>
        </is>
      </c>
      <c r="B4" s="3" t="inlineStr">
        <is>
          <t>Chi tiết</t>
        </is>
      </c>
      <c r="D4" s="3" t="inlineStr">
        <is>
          <t>Lộ trình 8 Phase</t>
        </is>
      </c>
      <c r="E4" s="4" t="n"/>
    </row>
    <row r="5">
      <c r="A5" s="5" t="inlineStr">
        <is>
          <t>Tổ chức</t>
        </is>
      </c>
      <c r="B5" s="6" t="inlineStr">
        <is>
          <t>VinHealth Medical Group (Central Hospital Q1 + Satellite Bình Thạnh)</t>
        </is>
      </c>
      <c r="D5" s="7" t="inlineStr">
        <is>
          <t>Phase 0 (Tuần 1-2)</t>
        </is>
      </c>
      <c r="E5" s="6" t="inlineStr">
        <is>
          <t>Foundation &amp; Terraform Setup</t>
        </is>
      </c>
    </row>
    <row r="6">
      <c r="A6" s="8" t="inlineStr">
        <is>
          <t>Loại migration</t>
        </is>
      </c>
      <c r="B6" s="9" t="inlineStr">
        <is>
          <t>Full Cloud (Thay thế Hybrid: EVE-NG + AWS → AWS Only)</t>
        </is>
      </c>
      <c r="D6" s="10" t="inlineStr">
        <is>
          <t>Phase 1 (Tuần 2-3)</t>
        </is>
      </c>
      <c r="E6" s="9" t="inlineStr">
        <is>
          <t>Network Foundation (VPC + TGW)</t>
        </is>
      </c>
    </row>
    <row r="7">
      <c r="A7" s="5" t="inlineStr">
        <is>
          <t>Nhóm thực hiện</t>
        </is>
      </c>
      <c r="B7" s="6" t="inlineStr">
        <is>
          <t>Nhóm 15 — NT113 (Mạng máy tính nâng cao)</t>
        </is>
      </c>
      <c r="D7" s="7" t="inlineStr">
        <is>
          <t>Phase 2 (Tuần 3-4)</t>
        </is>
      </c>
      <c r="E7" s="6" t="inlineStr">
        <is>
          <t>Identity &amp; Security Baseline</t>
        </is>
      </c>
    </row>
    <row r="8">
      <c r="A8" s="8" t="inlineStr">
        <is>
          <t>Thời gian dự kiến</t>
        </is>
      </c>
      <c r="B8" s="9" t="inlineStr">
        <is>
          <t>Tháng 5 – Tháng 8, 2026 (10 tuần)</t>
        </is>
      </c>
      <c r="D8" s="10" t="inlineStr">
        <is>
          <t>Phase 3 (Tuần 4-5)</t>
        </is>
      </c>
      <c r="E8" s="9" t="inlineStr">
        <is>
          <t>Storage &amp; PACS Migration</t>
        </is>
      </c>
    </row>
    <row r="9">
      <c r="A9" s="5" t="inlineStr">
        <is>
          <t>Phiên bản tài liệu</t>
        </is>
      </c>
      <c r="B9" s="6" t="inlineStr">
        <is>
          <t>v2.0 — Cloud Migration Plan</t>
        </is>
      </c>
      <c r="D9" s="7" t="inlineStr">
        <is>
          <t>Phase 4 (Tuần 5-6)</t>
        </is>
      </c>
      <c r="E9" s="6" t="inlineStr">
        <is>
          <t>Database Migration (EHR)</t>
        </is>
      </c>
    </row>
    <row r="10">
      <c r="A10" s="8" t="inlineStr">
        <is>
          <t>GitHub Repository</t>
        </is>
      </c>
      <c r="B10" s="9" t="inlineStr">
        <is>
          <t>github.com/dinhtri6905/NT113-Hybrid_Network</t>
        </is>
      </c>
      <c r="D10" s="10" t="inlineStr">
        <is>
          <t>Phase 5 (Tuần 6-7)</t>
        </is>
      </c>
      <c r="E10" s="9" t="inlineStr">
        <is>
          <t>Application Layer (EHR + Portal)</t>
        </is>
      </c>
    </row>
    <row r="11">
      <c r="A11" s="5" t="inlineStr">
        <is>
          <t>IaC Tool</t>
        </is>
      </c>
      <c r="B11" s="6" t="inlineStr">
        <is>
          <t>Terraform (HCL) + Ansible</t>
        </is>
      </c>
      <c r="D11" s="7" t="inlineStr">
        <is>
          <t>Phase 6 (Tuần 7-8)</t>
        </is>
      </c>
      <c r="E11" s="6" t="inlineStr">
        <is>
          <t>IoT &amp; Healthcare Workloads</t>
        </is>
      </c>
    </row>
    <row r="12">
      <c r="A12" s="8" t="inlineStr">
        <is>
          <t>Cloud Provider</t>
        </is>
      </c>
      <c r="B12" s="9" t="inlineStr">
        <is>
          <t>Amazon Web Services (AWS) — Region: ap-southeast-1 (Singapore)</t>
        </is>
      </c>
      <c r="D12" s="10" t="inlineStr">
        <is>
          <t>Phase 7 (Tuần 8-10)</t>
        </is>
      </c>
      <c r="E12" s="9" t="inlineStr">
        <is>
          <t>Satellite Clinic &amp; Final Cutover</t>
        </is>
      </c>
    </row>
    <row r="13">
      <c r="A13" s="5" t="inlineStr">
        <is>
          <t>Compliance</t>
        </is>
      </c>
      <c r="B13" s="6" t="inlineStr">
        <is>
          <t>HIPAA + ISO 27799</t>
        </is>
      </c>
    </row>
    <row r="14">
      <c r="A14" s="8" t="inlineStr">
        <is>
          <t>Tổng chi phí ước tính</t>
        </is>
      </c>
      <c r="B14" s="9" t="inlineStr">
        <is>
          <t>~$3,090 USD/tháng (~77 triệu VNĐ/tháng)</t>
        </is>
      </c>
    </row>
    <row r="15">
      <c r="A15" s="5" t="inlineStr">
        <is>
          <t>SLA Target (EHR DB)</t>
        </is>
      </c>
      <c r="B15" s="6" t="inlineStr">
        <is>
          <t>99.99% (Multi-AZ RDS)</t>
        </is>
      </c>
    </row>
    <row r="16">
      <c r="A16" s="8" t="inlineStr">
        <is>
          <t>Tổng số AWS Services</t>
        </is>
      </c>
      <c r="B16" s="9" t="inlineStr">
        <is>
          <t>18 services chính</t>
        </is>
      </c>
    </row>
  </sheetData>
  <mergeCells count="3">
    <mergeCell ref="A2:E2"/>
    <mergeCell ref="A1:E1"/>
    <mergeCell ref="D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8" customWidth="1" min="4" max="4"/>
    <col width="25" customWidth="1" min="5" max="5"/>
    <col width="10" customWidth="1" min="6" max="6"/>
    <col width="12" customWidth="1" min="7" max="7"/>
    <col width="15" customWidth="1" min="8" max="8"/>
  </cols>
  <sheetData>
    <row r="1" ht="28" customHeight="1">
      <c r="A1" s="11" t="inlineStr">
        <is>
          <t>LỘ TRÌNH MIGRATION — 8 GIAI ĐOẠN</t>
        </is>
      </c>
    </row>
    <row r="2" ht="22" customHeight="1">
      <c r="A2" s="3" t="inlineStr">
        <is>
          <t>Phase</t>
        </is>
      </c>
      <c r="B2" s="3" t="inlineStr">
        <is>
          <t>Tên giai đoạn</t>
        </is>
      </c>
      <c r="C2" s="3" t="inlineStr">
        <is>
          <t>Nội dung chính</t>
        </is>
      </c>
      <c r="D2" s="3" t="inlineStr">
        <is>
          <t>Chi tiết công việc</t>
        </is>
      </c>
      <c r="E2" s="3" t="inlineStr">
        <is>
          <t>AWS Services / Tools</t>
        </is>
      </c>
      <c r="F2" s="3" t="inlineStr">
        <is>
          <t>Thời gian</t>
        </is>
      </c>
      <c r="G2" s="3" t="inlineStr">
        <is>
          <t>Tuần</t>
        </is>
      </c>
      <c r="H2" s="3" t="inlineStr">
        <is>
          <t>Trạng thái</t>
        </is>
      </c>
    </row>
    <row r="3" ht="80" customHeight="1">
      <c r="A3" s="12" t="inlineStr">
        <is>
          <t>Phase 0</t>
        </is>
      </c>
      <c r="B3" s="7" t="inlineStr">
        <is>
          <t>Foundation &amp; Terraform Setup</t>
        </is>
      </c>
      <c r="C3" s="6" t="inlineStr">
        <is>
          <t>Thiết lập nền tảng IaC và bảo mật tổ chức</t>
        </is>
      </c>
      <c r="D3" s="6" t="inlineStr">
        <is>
          <t>- AWS Organizations + SCPs
- Terraform S3 backend + DynamoDB locking
- CloudTrail toàn tổ chức
- IAM role structure
- AWS Control Tower Landing Zone</t>
        </is>
      </c>
      <c r="E3" s="6" t="inlineStr">
        <is>
          <t>Terraform, AWS Control Tower, S3, DynamoDB, CloudTrail, IAM</t>
        </is>
      </c>
      <c r="F3" s="13" t="inlineStr">
        <is>
          <t>Tuần 1-2</t>
        </is>
      </c>
      <c r="G3" s="13" t="n">
        <v>2</v>
      </c>
      <c r="H3" s="14" t="inlineStr">
        <is>
          <t>PLANNED</t>
        </is>
      </c>
    </row>
    <row r="4" ht="80" customHeight="1">
      <c r="A4" s="15" t="inlineStr">
        <is>
          <t>Phase 1</t>
        </is>
      </c>
      <c r="B4" s="10" t="inlineStr">
        <is>
          <t>Network Foundation</t>
        </is>
      </c>
      <c r="C4" s="9" t="inlineStr">
        <is>
          <t>Xây dựng toàn bộ hạ tầng mạng AWS</t>
        </is>
      </c>
      <c r="D4" s="9" t="inlineStr">
        <is>
          <t>- Tạo 3 VPC (HOSPITAL/SATELLITE/DMZ)
- Transit Gateway + route tables
- AWS Network Firewall (stateful rules HIPAA)
- Security Groups theo workload
- NAT Gateway, VPC Flow Logs → S3</t>
        </is>
      </c>
      <c r="E4" s="9" t="inlineStr">
        <is>
          <t>VPC, Transit Gateway, Network Firewall, NAT GW, Security Groups</t>
        </is>
      </c>
      <c r="F4" s="16" t="inlineStr">
        <is>
          <t>Tuần 2-3</t>
        </is>
      </c>
      <c r="G4" s="16" t="n">
        <v>2</v>
      </c>
      <c r="H4" s="14" t="inlineStr">
        <is>
          <t>PLANNED</t>
        </is>
      </c>
    </row>
    <row r="5" ht="80" customHeight="1">
      <c r="A5" s="12" t="inlineStr">
        <is>
          <t>Phase 2</t>
        </is>
      </c>
      <c r="B5" s="7" t="inlineStr">
        <is>
          <t>Identity &amp; Security Baseline</t>
        </is>
      </c>
      <c r="C5" s="6" t="inlineStr">
        <is>
          <t>Zero Trust Identity và Security monitoring</t>
        </is>
      </c>
      <c r="D5" s="6" t="inlineStr">
        <is>
          <t>- AWS Directory Service (Managed AD)
- IAM Identity Center (SSO) + MFA bắt buộc
- AWS KMS (Customer Managed Keys)
- Security Hub + GuardDuty + Config
- HIPAA conformance pack</t>
        </is>
      </c>
      <c r="E5" s="6" t="inlineStr">
        <is>
          <t>Directory Service, IAM SSO, KMS, Security Hub, GuardDuty, Config</t>
        </is>
      </c>
      <c r="F5" s="13" t="inlineStr">
        <is>
          <t>Tuần 3-4</t>
        </is>
      </c>
      <c r="G5" s="13" t="n">
        <v>2</v>
      </c>
      <c r="H5" s="14" t="inlineStr">
        <is>
          <t>PLANNED</t>
        </is>
      </c>
    </row>
    <row r="6" ht="80" customHeight="1">
      <c r="A6" s="15" t="inlineStr">
        <is>
          <t>Phase 3</t>
        </is>
      </c>
      <c r="B6" s="10" t="inlineStr">
        <is>
          <t>Storage &amp; PACS Migration</t>
        </is>
      </c>
      <c r="C6" s="9" t="inlineStr">
        <is>
          <t>Migrate PACS/DICOM và thiết lập lưu trữ</t>
        </is>
      </c>
      <c r="D6" s="9" t="inlineStr">
        <is>
          <t>- S3 buckets (PACS, EHR backup, logs)
- S3 Intelligent-Tiering + Lifecycle → Glacier
- Amazon HealthLake Imaging (DICOM)
- AWS DataSync migrate dữ liệu cũ
- S3 Object Lock (WORM) cho audit log</t>
        </is>
      </c>
      <c r="E6" s="9" t="inlineStr">
        <is>
          <t>S3, HealthLake Imaging, DataSync, S3 Glacier, AWS Backup</t>
        </is>
      </c>
      <c r="F6" s="16" t="inlineStr">
        <is>
          <t>Tuần 4-5</t>
        </is>
      </c>
      <c r="G6" s="16" t="n">
        <v>2</v>
      </c>
      <c r="H6" s="14" t="inlineStr">
        <is>
          <t>PLANNED</t>
        </is>
      </c>
    </row>
    <row r="7" ht="80" customHeight="1">
      <c r="A7" s="12" t="inlineStr">
        <is>
          <t>Phase 4</t>
        </is>
      </c>
      <c r="B7" s="7" t="inlineStr">
        <is>
          <t>Database Migration (EHR)</t>
        </is>
      </c>
      <c r="C7" s="6" t="inlineStr">
        <is>
          <t>Zero-downtime migrate database EHR</t>
        </is>
      </c>
      <c r="D7" s="6" t="inlineStr">
        <is>
          <t>- AWS DMS với CDC (Change Data Capture)
- RDS MySQL Multi-AZ deploy
- ElastiCache Redis (session cache)
- AWS Backup config (RPO 1h, RTO 4h)
- Cutover window: 02:00-04:00</t>
        </is>
      </c>
      <c r="E7" s="6" t="inlineStr">
        <is>
          <t>AWS DMS, RDS MySQL Multi-AZ, ElastiCache, AWS Backup</t>
        </is>
      </c>
      <c r="F7" s="13" t="inlineStr">
        <is>
          <t>Tuần 5-6</t>
        </is>
      </c>
      <c r="G7" s="13" t="n">
        <v>2</v>
      </c>
      <c r="H7" s="14" t="inlineStr">
        <is>
          <t>PLANNED</t>
        </is>
      </c>
    </row>
    <row r="8" ht="80" customHeight="1">
      <c r="A8" s="15" t="inlineStr">
        <is>
          <t>Phase 5</t>
        </is>
      </c>
      <c r="B8" s="10" t="inlineStr">
        <is>
          <t>Application Layer</t>
        </is>
      </c>
      <c r="C8" s="9" t="inlineStr">
        <is>
          <t>Deploy EHR app và Patient Portal</t>
        </is>
      </c>
      <c r="D8" s="9" t="inlineStr">
        <is>
          <t>- ECS Fargate (EHR microservices)
- EC2 Auto Scaling Group (app servers)
- ALB + WAF (OWASP managed rules)
- CloudFront + Route 53 + ACM (TLS 1.3)
- API Gateway (EHR REST API)</t>
        </is>
      </c>
      <c r="E8" s="9" t="inlineStr">
        <is>
          <t>ECS Fargate, EC2 ASG, ALB, WAF, CloudFront, Route 53, ACM</t>
        </is>
      </c>
      <c r="F8" s="16" t="inlineStr">
        <is>
          <t>Tuần 6-7</t>
        </is>
      </c>
      <c r="G8" s="16" t="n">
        <v>2</v>
      </c>
      <c r="H8" s="14" t="inlineStr">
        <is>
          <t>PLANNED</t>
        </is>
      </c>
    </row>
    <row r="9" ht="80" customHeight="1">
      <c r="A9" s="12" t="inlineStr">
        <is>
          <t>Phase 6</t>
        </is>
      </c>
      <c r="B9" s="7" t="inlineStr">
        <is>
          <t>IoT &amp; Healthcare Workloads</t>
        </is>
      </c>
      <c r="C9" s="6" t="inlineStr">
        <is>
          <t>Kết nối thiết bị y tế ICU lên cloud</t>
        </is>
      </c>
      <c r="D9" s="6" t="inlineStr">
        <is>
          <t>- IoT Core cho monitor ICU/NICU/PICU
- Kinesis Data Streams (real-time vital signs)
- Lambda alerts ngưỡng nguy hiểm
- IoT Greengrass local buffer (offline-first)
- HealthLake FHIR R4</t>
        </is>
      </c>
      <c r="E9" s="6" t="inlineStr">
        <is>
          <t>IoT Core, Kinesis, Lambda, IoT Greengrass, HealthLake</t>
        </is>
      </c>
      <c r="F9" s="13" t="inlineStr">
        <is>
          <t>Tuần 7-8</t>
        </is>
      </c>
      <c r="G9" s="13" t="n">
        <v>2</v>
      </c>
      <c r="H9" s="14" t="inlineStr">
        <is>
          <t>PLANNED</t>
        </is>
      </c>
    </row>
    <row r="10" ht="80" customHeight="1">
      <c r="A10" s="15" t="inlineStr">
        <is>
          <t>Phase 7</t>
        </is>
      </c>
      <c r="B10" s="10" t="inlineStr">
        <is>
          <t>Satellite &amp; Final Cutover</t>
        </is>
      </c>
      <c r="C10" s="9" t="inlineStr">
        <is>
          <t>Migrate Phòng khám Vệ tinh + Decommission EVE-NG</t>
        </is>
      </c>
      <c r="D10" s="9" t="inlineStr">
        <is>
          <t>- WorkSpaces (50 users)
- Direct Connect / Site-to-Site VPN cho Satellite
- DNS cutover (Route 53)
- Decommission EVE-NG sau test pass
- Post-migration monitoring 2 tuần</t>
        </is>
      </c>
      <c r="E10" s="9" t="inlineStr">
        <is>
          <t>WorkSpaces, Direct Connect, Route 53, CloudWatch Dashboards</t>
        </is>
      </c>
      <c r="F10" s="16" t="inlineStr">
        <is>
          <t>Tuần 8-10</t>
        </is>
      </c>
      <c r="G10" s="16" t="n">
        <v>3</v>
      </c>
      <c r="H10" s="14" t="inlineStr">
        <is>
          <t>PLANNED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8" customWidth="1" min="4" max="4"/>
    <col width="15" customWidth="1" min="5" max="5"/>
    <col width="15" customWidth="1" min="6" max="6"/>
    <col width="20" customWidth="1" min="7" max="7"/>
  </cols>
  <sheetData>
    <row r="1">
      <c r="A1" s="11" t="inlineStr">
        <is>
          <t>AWS SERVICES MAPPING — VinHealth Cloud Migration</t>
        </is>
      </c>
    </row>
    <row r="2">
      <c r="A2" s="3" t="inlineStr">
        <is>
          <t>Category</t>
        </is>
      </c>
      <c r="B2" s="3" t="inlineStr">
        <is>
          <t>AWS Service</t>
        </is>
      </c>
      <c r="C2" s="3" t="inlineStr">
        <is>
          <t>Thay thế On-Premise</t>
        </is>
      </c>
      <c r="D2" s="3" t="inlineStr">
        <is>
          <t>Phase</t>
        </is>
      </c>
      <c r="E2" s="3" t="inlineStr">
        <is>
          <t>Tier / Config</t>
        </is>
      </c>
      <c r="F2" s="3" t="inlineStr">
        <is>
          <t>Est. Cost/tháng</t>
        </is>
      </c>
      <c r="G2" s="3" t="inlineStr">
        <is>
          <t>Ghi chú</t>
        </is>
      </c>
    </row>
    <row r="3" ht="22" customHeight="1">
      <c r="A3" s="17" t="inlineStr">
        <is>
          <t>Networking</t>
        </is>
      </c>
      <c r="B3" s="5" t="inlineStr">
        <is>
          <t>Amazon VPC</t>
        </is>
      </c>
      <c r="C3" s="6" t="inlineStr">
        <is>
          <t>Core/Distribution Switch (EVE-NG)</t>
        </is>
      </c>
      <c r="D3" s="18" t="inlineStr">
        <is>
          <t>Phase 1</t>
        </is>
      </c>
      <c r="E3" s="6" t="inlineStr">
        <is>
          <t>3 VPC Standard</t>
        </is>
      </c>
      <c r="F3" s="19" t="inlineStr">
        <is>
          <t>~$50</t>
        </is>
      </c>
      <c r="G3" s="6" t="inlineStr">
        <is>
          <t>Giữ nguyên CIDR từ IP Plan</t>
        </is>
      </c>
    </row>
    <row r="4" ht="22" customHeight="1">
      <c r="A4" s="20" t="inlineStr">
        <is>
          <t>Networking</t>
        </is>
      </c>
      <c r="B4" s="8" t="inlineStr">
        <is>
          <t>Transit Gateway</t>
        </is>
      </c>
      <c r="C4" s="9" t="inlineStr">
        <is>
          <t>MPLS Core Router</t>
        </is>
      </c>
      <c r="D4" s="21" t="inlineStr">
        <is>
          <t>Phase 1</t>
        </is>
      </c>
      <c r="E4" s="9" t="inlineStr">
        <is>
          <t>Standard 50Gbps</t>
        </is>
      </c>
      <c r="F4" s="22" t="inlineStr">
        <is>
          <t>~$180</t>
        </is>
      </c>
      <c r="G4" s="9" t="inlineStr">
        <is>
          <t>3 VPC attachments</t>
        </is>
      </c>
    </row>
    <row r="5" ht="22" customHeight="1">
      <c r="A5" s="17" t="inlineStr">
        <is>
          <t>Networking</t>
        </is>
      </c>
      <c r="B5" s="5" t="inlineStr">
        <is>
          <t>Network Firewall</t>
        </is>
      </c>
      <c r="C5" s="6" t="inlineStr">
        <is>
          <t>pfSense/Palo Alto (EVE-NG)</t>
        </is>
      </c>
      <c r="D5" s="18" t="inlineStr">
        <is>
          <t>Phase 1</t>
        </is>
      </c>
      <c r="E5" s="6" t="inlineStr">
        <is>
          <t>Standard Stateful</t>
        </is>
      </c>
      <c r="F5" s="19" t="inlineStr">
        <is>
          <t>~$200</t>
        </is>
      </c>
      <c r="G5" s="6" t="inlineStr">
        <is>
          <t>HIPAA stateful rules</t>
        </is>
      </c>
    </row>
    <row r="6" ht="22" customHeight="1">
      <c r="A6" s="20" t="inlineStr">
        <is>
          <t>Networking</t>
        </is>
      </c>
      <c r="B6" s="8" t="inlineStr">
        <is>
          <t>Application Load Balancer</t>
        </is>
      </c>
      <c r="C6" s="9" t="inlineStr">
        <is>
          <t>Không có</t>
        </is>
      </c>
      <c r="D6" s="21" t="inlineStr">
        <is>
          <t>Phase 5</t>
        </is>
      </c>
      <c r="E6" s="9" t="inlineStr">
        <is>
          <t>Standard</t>
        </is>
      </c>
      <c r="F6" s="22" t="inlineStr">
        <is>
          <t>~$30</t>
        </is>
      </c>
      <c r="G6" s="9" t="inlineStr">
        <is>
          <t>TLS 1.3 + WAF</t>
        </is>
      </c>
    </row>
    <row r="7" ht="22" customHeight="1">
      <c r="A7" s="17" t="inlineStr">
        <is>
          <t>Networking</t>
        </is>
      </c>
      <c r="B7" s="5" t="inlineStr">
        <is>
          <t>Route 53</t>
        </is>
      </c>
      <c r="C7" s="6" t="inlineStr">
        <is>
          <t>DNS External (DMZ EVE-NG)</t>
        </is>
      </c>
      <c r="D7" s="18" t="inlineStr">
        <is>
          <t>Phase 5</t>
        </is>
      </c>
      <c r="E7" s="6" t="inlineStr">
        <is>
          <t>Public Hosted Zone</t>
        </is>
      </c>
      <c r="F7" s="19" t="inlineStr">
        <is>
          <t>~$5</t>
        </is>
      </c>
      <c r="G7" s="6" t="inlineStr">
        <is>
          <t>Health Check Failover</t>
        </is>
      </c>
    </row>
    <row r="8" ht="22" customHeight="1">
      <c r="A8" s="20" t="inlineStr">
        <is>
          <t>Networking</t>
        </is>
      </c>
      <c r="B8" s="8" t="inlineStr">
        <is>
          <t>CloudFront + WAF</t>
        </is>
      </c>
      <c r="C8" s="9" t="inlineStr">
        <is>
          <t>Proxy/WAF DMZ</t>
        </is>
      </c>
      <c r="D8" s="21" t="inlineStr">
        <is>
          <t>Phase 5</t>
        </is>
      </c>
      <c r="E8" s="9" t="inlineStr">
        <is>
          <t>Managed Rules</t>
        </is>
      </c>
      <c r="F8" s="22" t="inlineStr">
        <is>
          <t>~$100</t>
        </is>
      </c>
      <c r="G8" s="9" t="inlineStr">
        <is>
          <t>OWASP Top 10</t>
        </is>
      </c>
    </row>
    <row r="9" ht="22" customHeight="1">
      <c r="A9" s="23" t="inlineStr">
        <is>
          <t>Security</t>
        </is>
      </c>
      <c r="B9" s="5" t="inlineStr">
        <is>
          <t>IAM + SSO</t>
        </is>
      </c>
      <c r="C9" s="6" t="inlineStr">
        <is>
          <t>RADIUS AAA Server</t>
        </is>
      </c>
      <c r="D9" s="18" t="inlineStr">
        <is>
          <t>Phase 2</t>
        </is>
      </c>
      <c r="E9" s="6" t="inlineStr">
        <is>
          <t>Standard + MFA</t>
        </is>
      </c>
      <c r="F9" s="24" t="inlineStr">
        <is>
          <t>Incl.</t>
        </is>
      </c>
      <c r="G9" s="6" t="inlineStr">
        <is>
          <t>MFA bắt buộc</t>
        </is>
      </c>
    </row>
    <row r="10" ht="22" customHeight="1">
      <c r="A10" s="25" t="inlineStr">
        <is>
          <t>Security</t>
        </is>
      </c>
      <c r="B10" s="8" t="inlineStr">
        <is>
          <t>AWS Directory Service</t>
        </is>
      </c>
      <c r="C10" s="9" t="inlineStr">
        <is>
          <t>Local AD (EVE-NG)</t>
        </is>
      </c>
      <c r="D10" s="21" t="inlineStr">
        <is>
          <t>Phase 2</t>
        </is>
      </c>
      <c r="E10" s="9" t="inlineStr">
        <is>
          <t>Microsoft AD</t>
        </is>
      </c>
      <c r="F10" s="22" t="inlineStr">
        <is>
          <t>~$100</t>
        </is>
      </c>
      <c r="G10" s="9" t="inlineStr">
        <is>
          <t>Tích hợp WorkSpaces</t>
        </is>
      </c>
    </row>
    <row r="11" ht="22" customHeight="1">
      <c r="A11" s="23" t="inlineStr">
        <is>
          <t>Security</t>
        </is>
      </c>
      <c r="B11" s="5" t="inlineStr">
        <is>
          <t>AWS KMS</t>
        </is>
      </c>
      <c r="C11" s="6" t="inlineStr">
        <is>
          <t>Không có</t>
        </is>
      </c>
      <c r="D11" s="18" t="inlineStr">
        <is>
          <t>Phase 2</t>
        </is>
      </c>
      <c r="E11" s="6" t="inlineStr">
        <is>
          <t>Customer Managed</t>
        </is>
      </c>
      <c r="F11" s="19" t="inlineStr">
        <is>
          <t>~$15</t>
        </is>
      </c>
      <c r="G11" s="6" t="inlineStr">
        <is>
          <t>Rotate hàng năm</t>
        </is>
      </c>
    </row>
    <row r="12" ht="22" customHeight="1">
      <c r="A12" s="25" t="inlineStr">
        <is>
          <t>Security</t>
        </is>
      </c>
      <c r="B12" s="8" t="inlineStr">
        <is>
          <t>Security Hub</t>
        </is>
      </c>
      <c r="C12" s="9" t="inlineStr">
        <is>
          <t>Graylog SIEM (EVE-NG)</t>
        </is>
      </c>
      <c r="D12" s="21" t="inlineStr">
        <is>
          <t>Phase 2</t>
        </is>
      </c>
      <c r="E12" s="9" t="inlineStr">
        <is>
          <t>Standard</t>
        </is>
      </c>
      <c r="F12" s="22" t="inlineStr">
        <is>
          <t>~$80</t>
        </is>
      </c>
      <c r="G12" s="9" t="inlineStr">
        <is>
          <t>HIPAA conformance pack</t>
        </is>
      </c>
    </row>
    <row r="13" ht="22" customHeight="1">
      <c r="A13" s="23" t="inlineStr">
        <is>
          <t>Security</t>
        </is>
      </c>
      <c r="B13" s="5" t="inlineStr">
        <is>
          <t>GuardDuty</t>
        </is>
      </c>
      <c r="C13" s="6" t="inlineStr">
        <is>
          <t>Không có</t>
        </is>
      </c>
      <c r="D13" s="18" t="inlineStr">
        <is>
          <t>Phase 2</t>
        </is>
      </c>
      <c r="E13" s="6" t="inlineStr">
        <is>
          <t>Standard</t>
        </is>
      </c>
      <c r="F13" s="19" t="inlineStr">
        <is>
          <t>~$50</t>
        </is>
      </c>
      <c r="G13" s="6" t="inlineStr">
        <is>
          <t>Threat intelligence</t>
        </is>
      </c>
    </row>
    <row r="14" ht="22" customHeight="1">
      <c r="A14" s="25" t="inlineStr">
        <is>
          <t>Security</t>
        </is>
      </c>
      <c r="B14" s="8" t="inlineStr">
        <is>
          <t>CloudTrail</t>
        </is>
      </c>
      <c r="C14" s="9" t="inlineStr">
        <is>
          <t>Syslog Server (EVE-NG)</t>
        </is>
      </c>
      <c r="D14" s="21" t="inlineStr">
        <is>
          <t>Phase 0</t>
        </is>
      </c>
      <c r="E14" s="9" t="inlineStr">
        <is>
          <t>Standard</t>
        </is>
      </c>
      <c r="F14" s="22" t="inlineStr">
        <is>
          <t>~$20</t>
        </is>
      </c>
      <c r="G14" s="9" t="inlineStr">
        <is>
          <t>12 tháng → Glacier</t>
        </is>
      </c>
    </row>
    <row r="15" ht="22" customHeight="1">
      <c r="A15" s="26" t="inlineStr">
        <is>
          <t>Compute</t>
        </is>
      </c>
      <c r="B15" s="5" t="inlineStr">
        <is>
          <t>EC2 Auto Scaling</t>
        </is>
      </c>
      <c r="C15" s="6" t="inlineStr">
        <is>
          <t>Server Farm Tòa E</t>
        </is>
      </c>
      <c r="D15" s="18" t="inlineStr">
        <is>
          <t>Phase 5</t>
        </is>
      </c>
      <c r="E15" s="6" t="inlineStr">
        <is>
          <t>m5.xlarge x2</t>
        </is>
      </c>
      <c r="F15" s="19" t="inlineStr">
        <is>
          <t>~$280</t>
        </is>
      </c>
      <c r="G15" s="6" t="inlineStr">
        <is>
          <t>EHR App + Web Server</t>
        </is>
      </c>
    </row>
    <row r="16" ht="22" customHeight="1">
      <c r="A16" s="27" t="inlineStr">
        <is>
          <t>Compute</t>
        </is>
      </c>
      <c r="B16" s="8" t="inlineStr">
        <is>
          <t>ECS Fargate</t>
        </is>
      </c>
      <c r="C16" s="9" t="inlineStr">
        <is>
          <t>Local App Server</t>
        </is>
      </c>
      <c r="D16" s="21" t="inlineStr">
        <is>
          <t>Phase 5</t>
        </is>
      </c>
      <c r="E16" s="9" t="inlineStr">
        <is>
          <t>4vCPU 8GB avg</t>
        </is>
      </c>
      <c r="F16" s="22" t="inlineStr">
        <is>
          <t>~$150</t>
        </is>
      </c>
      <c r="G16" s="9" t="inlineStr">
        <is>
          <t>EHR Microservices</t>
        </is>
      </c>
    </row>
    <row r="17" ht="22" customHeight="1">
      <c r="A17" s="26" t="inlineStr">
        <is>
          <t>Compute</t>
        </is>
      </c>
      <c r="B17" s="5" t="inlineStr">
        <is>
          <t>Amazon WorkSpaces</t>
        </is>
      </c>
      <c r="C17" s="6" t="inlineStr">
        <is>
          <t>PC vật lý bác sĩ</t>
        </is>
      </c>
      <c r="D17" s="18" t="inlineStr">
        <is>
          <t>Phase 7</t>
        </is>
      </c>
      <c r="E17" s="6" t="inlineStr">
        <is>
          <t>Standard Bundle</t>
        </is>
      </c>
      <c r="F17" s="19" t="inlineStr">
        <is>
          <t>~$800</t>
        </is>
      </c>
      <c r="G17" s="6" t="inlineStr">
        <is>
          <t>50 users × $16</t>
        </is>
      </c>
    </row>
    <row r="18" ht="22" customHeight="1">
      <c r="A18" s="27" t="inlineStr">
        <is>
          <t>Compute</t>
        </is>
      </c>
      <c r="B18" s="8" t="inlineStr">
        <is>
          <t>AWS Lambda</t>
        </is>
      </c>
      <c r="C18" s="9" t="inlineStr">
        <is>
          <t>Manual process</t>
        </is>
      </c>
      <c r="D18" s="21" t="inlineStr">
        <is>
          <t>Phase 6</t>
        </is>
      </c>
      <c r="E18" s="9" t="inlineStr">
        <is>
          <t>Serverless</t>
        </is>
      </c>
      <c r="F18" s="22" t="inlineStr">
        <is>
          <t>~$20</t>
        </is>
      </c>
      <c r="G18" s="9" t="inlineStr">
        <is>
          <t>IoT alerts, automation</t>
        </is>
      </c>
    </row>
    <row r="19" ht="22" customHeight="1">
      <c r="A19" s="28" t="inlineStr">
        <is>
          <t>Storage</t>
        </is>
      </c>
      <c r="B19" s="5" t="inlineStr">
        <is>
          <t>Amazon S3</t>
        </is>
      </c>
      <c r="C19" s="6" t="inlineStr">
        <is>
          <t>PACS Server on-premise</t>
        </is>
      </c>
      <c r="D19" s="18" t="inlineStr">
        <is>
          <t>Phase 3</t>
        </is>
      </c>
      <c r="E19" s="6" t="inlineStr">
        <is>
          <t>Intelligent-Tiering</t>
        </is>
      </c>
      <c r="F19" s="19" t="inlineStr">
        <is>
          <t>~$180</t>
        </is>
      </c>
      <c r="G19" s="6" t="inlineStr">
        <is>
          <t>10TB+ DICOM images</t>
        </is>
      </c>
    </row>
    <row r="20" ht="22" customHeight="1">
      <c r="A20" s="29" t="inlineStr">
        <is>
          <t>Storage</t>
        </is>
      </c>
      <c r="B20" s="8" t="inlineStr">
        <is>
          <t>S3 Glacier</t>
        </is>
      </c>
      <c r="C20" s="9" t="inlineStr">
        <is>
          <t>Không có</t>
        </is>
      </c>
      <c r="D20" s="21" t="inlineStr">
        <is>
          <t>Phase 3</t>
        </is>
      </c>
      <c r="E20" s="9" t="inlineStr">
        <is>
          <t>Deep Archive</t>
        </is>
      </c>
      <c r="F20" s="22" t="inlineStr">
        <is>
          <t>~$30</t>
        </is>
      </c>
      <c r="G20" s="9" t="inlineStr">
        <is>
          <t>Audit log 12 tháng HIPAA</t>
        </is>
      </c>
    </row>
    <row r="21" ht="22" customHeight="1">
      <c r="A21" s="28" t="inlineStr">
        <is>
          <t>Storage</t>
        </is>
      </c>
      <c r="B21" s="5" t="inlineStr">
        <is>
          <t>AWS Backup</t>
        </is>
      </c>
      <c r="C21" s="6" t="inlineStr">
        <is>
          <t>Manual backup</t>
        </is>
      </c>
      <c r="D21" s="18" t="inlineStr">
        <is>
          <t>Phase 4</t>
        </is>
      </c>
      <c r="E21" s="6" t="inlineStr">
        <is>
          <t>Standard</t>
        </is>
      </c>
      <c r="F21" s="19" t="inlineStr">
        <is>
          <t>~$50</t>
        </is>
      </c>
      <c r="G21" s="6" t="inlineStr">
        <is>
          <t>RPO 1h, RTO 4h</t>
        </is>
      </c>
    </row>
    <row r="22" ht="22" customHeight="1">
      <c r="A22" s="30" t="inlineStr">
        <is>
          <t>Database</t>
        </is>
      </c>
      <c r="B22" s="8" t="inlineStr">
        <is>
          <t>RDS MySQL Multi-AZ</t>
        </is>
      </c>
      <c r="C22" s="9" t="inlineStr">
        <is>
          <t>Local SQL Server</t>
        </is>
      </c>
      <c r="D22" s="21" t="inlineStr">
        <is>
          <t>Phase 4</t>
        </is>
      </c>
      <c r="E22" s="9" t="inlineStr">
        <is>
          <t>db.r6g.xlarge</t>
        </is>
      </c>
      <c r="F22" s="22" t="inlineStr">
        <is>
          <t>~$650</t>
        </is>
      </c>
      <c r="G22" s="9" t="inlineStr">
        <is>
          <t>EHR Patient Database</t>
        </is>
      </c>
    </row>
    <row r="23" ht="22" customHeight="1">
      <c r="A23" s="31" t="inlineStr">
        <is>
          <t>Database</t>
        </is>
      </c>
      <c r="B23" s="5" t="inlineStr">
        <is>
          <t>ElastiCache Redis</t>
        </is>
      </c>
      <c r="C23" s="6" t="inlineStr">
        <is>
          <t>Không có</t>
        </is>
      </c>
      <c r="D23" s="18" t="inlineStr">
        <is>
          <t>Phase 4</t>
        </is>
      </c>
      <c r="E23" s="6" t="inlineStr">
        <is>
          <t>r6g.large</t>
        </is>
      </c>
      <c r="F23" s="19" t="inlineStr">
        <is>
          <t>~$130</t>
        </is>
      </c>
      <c r="G23" s="6" t="inlineStr">
        <is>
          <t>Session cache EHR</t>
        </is>
      </c>
    </row>
    <row r="24" ht="22" customHeight="1">
      <c r="A24" s="30" t="inlineStr">
        <is>
          <t>Database</t>
        </is>
      </c>
      <c r="B24" s="8" t="inlineStr">
        <is>
          <t>AWS DMS</t>
        </is>
      </c>
      <c r="C24" s="9" t="inlineStr">
        <is>
          <t>Không có</t>
        </is>
      </c>
      <c r="D24" s="21" t="inlineStr">
        <is>
          <t>Phase 4</t>
        </is>
      </c>
      <c r="E24" s="9" t="inlineStr">
        <is>
          <t>dms.r5.large</t>
        </is>
      </c>
      <c r="F24" s="22" t="inlineStr">
        <is>
          <t>~$80</t>
        </is>
      </c>
      <c r="G24" s="9" t="inlineStr">
        <is>
          <t>One-time migration task</t>
        </is>
      </c>
    </row>
    <row r="25" ht="22" customHeight="1">
      <c r="A25" s="32" t="inlineStr">
        <is>
          <t>Healthcare</t>
        </is>
      </c>
      <c r="B25" s="5" t="inlineStr">
        <is>
          <t>HealthLake Imaging</t>
        </is>
      </c>
      <c r="C25" s="6" t="inlineStr">
        <is>
          <t>PACS Server (DICOM)</t>
        </is>
      </c>
      <c r="D25" s="18" t="inlineStr">
        <is>
          <t>Phase 3</t>
        </is>
      </c>
      <c r="E25" s="6" t="inlineStr">
        <is>
          <t>Standard</t>
        </is>
      </c>
      <c r="F25" s="19" t="inlineStr">
        <is>
          <t>~$100</t>
        </is>
      </c>
      <c r="G25" s="6" t="inlineStr">
        <is>
          <t>DICOM Web standard</t>
        </is>
      </c>
    </row>
    <row r="26" ht="22" customHeight="1">
      <c r="A26" s="33" t="inlineStr">
        <is>
          <t>Healthcare</t>
        </is>
      </c>
      <c r="B26" s="8" t="inlineStr">
        <is>
          <t>Amazon HealthLake</t>
        </is>
      </c>
      <c r="C26" s="9" t="inlineStr">
        <is>
          <t>EHR Local DB</t>
        </is>
      </c>
      <c r="D26" s="21" t="inlineStr">
        <is>
          <t>Phase 6</t>
        </is>
      </c>
      <c r="E26" s="9" t="inlineStr">
        <is>
          <t>Standard</t>
        </is>
      </c>
      <c r="F26" s="22" t="inlineStr">
        <is>
          <t>~$80</t>
        </is>
      </c>
      <c r="G26" s="9" t="inlineStr">
        <is>
          <t>FHIR R4</t>
        </is>
      </c>
    </row>
    <row r="27" ht="22" customHeight="1">
      <c r="A27" s="34" t="inlineStr">
        <is>
          <t>IoT</t>
        </is>
      </c>
      <c r="B27" s="5" t="inlineStr">
        <is>
          <t>AWS IoT Core</t>
        </is>
      </c>
      <c r="C27" s="6" t="inlineStr">
        <is>
          <t>Thiết bị IoT VLAN</t>
        </is>
      </c>
      <c r="D27" s="18" t="inlineStr">
        <is>
          <t>Phase 6</t>
        </is>
      </c>
      <c r="E27" s="6" t="inlineStr">
        <is>
          <t>Standard</t>
        </is>
      </c>
      <c r="F27" s="19" t="inlineStr">
        <is>
          <t>~$60</t>
        </is>
      </c>
      <c r="G27" s="6" t="inlineStr">
        <is>
          <t>500K msgs/ngày</t>
        </is>
      </c>
    </row>
    <row r="28" ht="22" customHeight="1">
      <c r="A28" s="35" t="inlineStr">
        <is>
          <t>IoT</t>
        </is>
      </c>
      <c r="B28" s="8" t="inlineStr">
        <is>
          <t>Kinesis Data Streams</t>
        </is>
      </c>
      <c r="C28" s="9" t="inlineStr">
        <is>
          <t>Không có</t>
        </is>
      </c>
      <c r="D28" s="21" t="inlineStr">
        <is>
          <t>Phase 6</t>
        </is>
      </c>
      <c r="E28" s="9" t="inlineStr">
        <is>
          <t>On-Demand</t>
        </is>
      </c>
      <c r="F28" s="22" t="inlineStr">
        <is>
          <t>~$60</t>
        </is>
      </c>
      <c r="G28" s="9" t="inlineStr">
        <is>
          <t>Real-time vital signs</t>
        </is>
      </c>
    </row>
    <row r="29" ht="22" customHeight="1">
      <c r="A29" s="36" t="inlineStr">
        <is>
          <t>Monitoring</t>
        </is>
      </c>
      <c r="B29" s="5" t="inlineStr">
        <is>
          <t>CloudWatch</t>
        </is>
      </c>
      <c r="C29" s="6" t="inlineStr">
        <is>
          <t>Prometheus/Grafana</t>
        </is>
      </c>
      <c r="D29" s="18" t="inlineStr">
        <is>
          <t>Phase 2</t>
        </is>
      </c>
      <c r="E29" s="6" t="inlineStr">
        <is>
          <t>Standard</t>
        </is>
      </c>
      <c r="F29" s="19" t="inlineStr">
        <is>
          <t>~$80</t>
        </is>
      </c>
      <c r="G29" s="6" t="inlineStr">
        <is>
          <t>Custom metrics, Alarms</t>
        </is>
      </c>
    </row>
    <row r="30" ht="22" customHeight="1">
      <c r="A30" s="37" t="inlineStr">
        <is>
          <t>Monitoring</t>
        </is>
      </c>
      <c r="B30" s="8" t="inlineStr">
        <is>
          <t>AWS Config</t>
        </is>
      </c>
      <c r="C30" s="9" t="inlineStr">
        <is>
          <t>Không có</t>
        </is>
      </c>
      <c r="D30" s="21" t="inlineStr">
        <is>
          <t>Phase 2</t>
        </is>
      </c>
      <c r="E30" s="9" t="inlineStr">
        <is>
          <t>Standard</t>
        </is>
      </c>
      <c r="F30" s="22" t="inlineStr">
        <is>
          <t>~$30</t>
        </is>
      </c>
      <c r="G30" s="9" t="inlineStr">
        <is>
          <t>Compliance monitoring</t>
        </is>
      </c>
    </row>
    <row r="31">
      <c r="A31" s="38" t="inlineStr">
        <is>
          <t>TỔNG CỘNG</t>
        </is>
      </c>
      <c r="B31" s="39" t="n"/>
      <c r="C31" s="39" t="n"/>
      <c r="D31" s="39" t="n"/>
      <c r="E31" s="4" t="n"/>
      <c r="F31" s="40" t="inlineStr">
        <is>
          <t>~$3,090/tháng</t>
        </is>
      </c>
      <c r="G31" s="41" t="inlineStr">
        <is>
          <t>≈ 77 triệu VNĐ/tháng</t>
        </is>
      </c>
    </row>
  </sheetData>
  <mergeCells count="2">
    <mergeCell ref="A1:G1"/>
    <mergeCell ref="A31:E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28" customWidth="1" min="5" max="5"/>
    <col width="18" customWidth="1" min="6" max="6"/>
    <col width="15" customWidth="1" min="7" max="7"/>
    <col width="15" customWidth="1" min="8" max="8"/>
  </cols>
  <sheetData>
    <row r="1">
      <c r="A1" s="42" t="inlineStr">
        <is>
          <t>RISK REGISTER — VinHealth Cloud Migration</t>
        </is>
      </c>
    </row>
    <row r="2">
      <c r="A2" s="3" t="inlineStr">
        <is>
          <t>Rủi ro</t>
        </is>
      </c>
      <c r="B2" s="3" t="inlineStr">
        <is>
          <t>Mức độ</t>
        </is>
      </c>
      <c r="C2" s="3" t="inlineStr">
        <is>
          <t>Xác suất</t>
        </is>
      </c>
      <c r="D2" s="3" t="inlineStr">
        <is>
          <t>Risk Score</t>
        </is>
      </c>
      <c r="E2" s="3" t="inlineStr">
        <is>
          <t>Biện pháp giảm thiểu</t>
        </is>
      </c>
      <c r="F2" s="3" t="inlineStr">
        <is>
          <t>Chủ sở hữu</t>
        </is>
      </c>
      <c r="G2" s="3" t="inlineStr">
        <is>
          <t>Phase liên quan</t>
        </is>
      </c>
      <c r="H2" s="3" t="inlineStr">
        <is>
          <t>Trạng thái</t>
        </is>
      </c>
    </row>
    <row r="3" ht="45" customHeight="1">
      <c r="A3" s="6" t="inlineStr">
        <is>
          <t>Downtime EHR trong khi migrate DB</t>
        </is>
      </c>
      <c r="B3" s="43" t="inlineStr">
        <is>
          <t>CAO</t>
        </is>
      </c>
      <c r="C3" s="13" t="inlineStr">
        <is>
          <t>Thấp</t>
        </is>
      </c>
      <c r="D3" s="44" t="n">
        <v>6</v>
      </c>
      <c r="E3" s="6" t="inlineStr">
        <is>
          <t>AWS DMS với CDC — zero-downtime; cutover 02:00-04:00; rollback kế hoạch rõ ràng</t>
        </is>
      </c>
      <c r="F3" s="6" t="inlineStr">
        <is>
          <t>Lead Dev + DBA</t>
        </is>
      </c>
      <c r="G3" s="18" t="inlineStr">
        <is>
          <t>Phase 4</t>
        </is>
      </c>
      <c r="H3" s="45" t="inlineStr">
        <is>
          <t>OPEN</t>
        </is>
      </c>
    </row>
    <row r="4" ht="45" customHeight="1">
      <c r="A4" s="9" t="inlineStr">
        <is>
          <t>Mất ảnh DICOM khi migrate PACS</t>
        </is>
      </c>
      <c r="B4" s="43" t="inlineStr">
        <is>
          <t>CAO</t>
        </is>
      </c>
      <c r="C4" s="16" t="inlineStr">
        <is>
          <t>Rất Thấp</t>
        </is>
      </c>
      <c r="D4" s="44" t="n">
        <v>4</v>
      </c>
      <c r="E4" s="9" t="inlineStr">
        <is>
          <t>DataSync checksum verify; PACS server cũ online song song 4 tuần; SHA-256 hash validation</t>
        </is>
      </c>
      <c r="F4" s="9" t="inlineStr">
        <is>
          <t>Storage Team</t>
        </is>
      </c>
      <c r="G4" s="21" t="inlineStr">
        <is>
          <t>Phase 3</t>
        </is>
      </c>
      <c r="H4" s="46" t="inlineStr">
        <is>
          <t>OPEN</t>
        </is>
      </c>
    </row>
    <row r="5" ht="45" customHeight="1">
      <c r="A5" s="6" t="inlineStr">
        <is>
          <t>Chi phí AWS vượt ngân sách</t>
        </is>
      </c>
      <c r="B5" s="47" t="inlineStr">
        <is>
          <t>TRUNG BÌNH</t>
        </is>
      </c>
      <c r="C5" s="13" t="inlineStr">
        <is>
          <t>Trung bình</t>
        </is>
      </c>
      <c r="D5" s="44" t="n">
        <v>6</v>
      </c>
      <c r="E5" s="6" t="inlineStr">
        <is>
          <t>AWS Cost Budget alerts ($3,500 threshold); Reserved Instances; S3 Intelligent-Tiering</t>
        </is>
      </c>
      <c r="F5" s="6" t="inlineStr">
        <is>
          <t>Project Manager</t>
        </is>
      </c>
      <c r="G5" s="18" t="inlineStr">
        <is>
          <t>Tất cả</t>
        </is>
      </c>
      <c r="H5" s="48" t="inlineStr">
        <is>
          <t>MONITORING</t>
        </is>
      </c>
    </row>
    <row r="6" ht="45" customHeight="1">
      <c r="A6" s="9" t="inlineStr">
        <is>
          <t>Security Group sai → lộ ePHI</t>
        </is>
      </c>
      <c r="B6" s="43" t="inlineStr">
        <is>
          <t>CAO</t>
        </is>
      </c>
      <c r="C6" s="16" t="inlineStr">
        <is>
          <t>Rất Thấp</t>
        </is>
      </c>
      <c r="D6" s="44" t="n">
        <v>4</v>
      </c>
      <c r="E6" s="9" t="inlineStr">
        <is>
          <t>Terraform plan review bắt buộc 2 người; Config rule block public SG; automated compliance scan</t>
        </is>
      </c>
      <c r="F6" s="9" t="inlineStr">
        <is>
          <t>Security Team</t>
        </is>
      </c>
      <c r="G6" s="21" t="inlineStr">
        <is>
          <t>Phase 1-2</t>
        </is>
      </c>
      <c r="H6" s="46" t="inlineStr">
        <is>
          <t>OPEN</t>
        </is>
      </c>
    </row>
    <row r="7" ht="45" customHeight="1">
      <c r="A7" s="6" t="inlineStr">
        <is>
          <t>IoT ICU mất kết nối tạm thời</t>
        </is>
      </c>
      <c r="B7" s="43" t="inlineStr">
        <is>
          <t>CAO</t>
        </is>
      </c>
      <c r="C7" s="13" t="inlineStr">
        <is>
          <t>Thấp</t>
        </is>
      </c>
      <c r="D7" s="44" t="n">
        <v>6</v>
      </c>
      <c r="E7" s="6" t="inlineStr">
        <is>
          <t>IoT Greengrass local buffer 24h; queue resync tự động; offline-first design</t>
        </is>
      </c>
      <c r="F7" s="6" t="inlineStr">
        <is>
          <t>IoT Team</t>
        </is>
      </c>
      <c r="G7" s="18" t="inlineStr">
        <is>
          <t>Phase 6</t>
        </is>
      </c>
      <c r="H7" s="45" t="inlineStr">
        <is>
          <t>OPEN</t>
        </is>
      </c>
    </row>
    <row r="8" ht="45" customHeight="1">
      <c r="A8" s="9" t="inlineStr">
        <is>
          <t>Latency WorkSpaces cao (&gt;50ms)</t>
        </is>
      </c>
      <c r="B8" s="47" t="inlineStr">
        <is>
          <t>TRUNG BÌNH</t>
        </is>
      </c>
      <c r="C8" s="16" t="inlineStr">
        <is>
          <t>Trung bình</t>
        </is>
      </c>
      <c r="D8" s="44" t="n">
        <v>6</v>
      </c>
      <c r="E8" s="9" t="inlineStr">
        <is>
          <t>Deploy ap-southeast-1; Direct Connect nếu cần; thử nghiệm 2 tuần trước cutover</t>
        </is>
      </c>
      <c r="F8" s="9" t="inlineStr">
        <is>
          <t>Network Team</t>
        </is>
      </c>
      <c r="G8" s="21" t="inlineStr">
        <is>
          <t>Phase 7</t>
        </is>
      </c>
      <c r="H8" s="46" t="inlineStr">
        <is>
          <t>OPEN</t>
        </is>
      </c>
    </row>
    <row r="9" ht="45" customHeight="1">
      <c r="A9" s="6" t="inlineStr">
        <is>
          <t>Nhân viên chưa quen AWS</t>
        </is>
      </c>
      <c r="B9" s="49" t="inlineStr">
        <is>
          <t>THẤP</t>
        </is>
      </c>
      <c r="C9" s="13" t="inlineStr">
        <is>
          <t>Cao</t>
        </is>
      </c>
      <c r="D9" s="50" t="n">
        <v>3</v>
      </c>
      <c r="E9" s="6" t="inlineStr">
        <is>
          <t>Training 2 buổi; SOP docs nội bộ; IT helpdesk 24/7 trong 2 tuần đầu</t>
        </is>
      </c>
      <c r="F9" s="6" t="inlineStr">
        <is>
          <t>IT Manager</t>
        </is>
      </c>
      <c r="G9" s="18" t="inlineStr">
        <is>
          <t>Phase 7</t>
        </is>
      </c>
      <c r="H9" s="45" t="inlineStr">
        <is>
          <t>OPEN</t>
        </is>
      </c>
    </row>
    <row r="10" ht="45" customHeight="1">
      <c r="A10" s="9" t="inlineStr">
        <is>
          <t>Terraform state bị corrupt</t>
        </is>
      </c>
      <c r="B10" s="47" t="inlineStr">
        <is>
          <t>TRUNG BÌNH</t>
        </is>
      </c>
      <c r="C10" s="16" t="inlineStr">
        <is>
          <t>Rất Thấp</t>
        </is>
      </c>
      <c r="D10" s="50" t="n">
        <v>2</v>
      </c>
      <c r="E10" s="9" t="inlineStr">
        <is>
          <t>S3 versioning + DynamoDB locking; backup state thủ công trước mỗi phase</t>
        </is>
      </c>
      <c r="F10" s="9" t="inlineStr">
        <is>
          <t>DevOps Lead</t>
        </is>
      </c>
      <c r="G10" s="21" t="inlineStr">
        <is>
          <t>Tất cả</t>
        </is>
      </c>
      <c r="H10" s="51" t="inlineStr">
        <is>
          <t>MITIGATED</t>
        </is>
      </c>
    </row>
    <row r="11" ht="45" customHeight="1">
      <c r="A11" s="6" t="inlineStr">
        <is>
          <t>AWS outage vùng ap-southeast-1</t>
        </is>
      </c>
      <c r="B11" s="43" t="inlineStr">
        <is>
          <t>CAO</t>
        </is>
      </c>
      <c r="C11" s="13" t="inlineStr">
        <is>
          <t>Rất Thấp</t>
        </is>
      </c>
      <c r="D11" s="44" t="n">
        <v>4</v>
      </c>
      <c r="E11" s="6" t="inlineStr">
        <is>
          <t>RDS Multi-AZ trong 2 AZ; S3 Cross-Region Replication sang ap-northeast-1</t>
        </is>
      </c>
      <c r="F11" s="6" t="inlineStr">
        <is>
          <t>Cloud Architect</t>
        </is>
      </c>
      <c r="G11" s="18" t="inlineStr">
        <is>
          <t>Tất cả</t>
        </is>
      </c>
      <c r="H11" s="52" t="inlineStr">
        <is>
          <t>MITIGATED</t>
        </is>
      </c>
    </row>
    <row r="12" ht="45" customHeight="1">
      <c r="A12" s="9" t="inlineStr">
        <is>
          <t>Không pass kiểm thử HIPAA</t>
        </is>
      </c>
      <c r="B12" s="47" t="inlineStr">
        <is>
          <t>TRUNG BÌNH</t>
        </is>
      </c>
      <c r="C12" s="16" t="inlineStr">
        <is>
          <t>Thấp</t>
        </is>
      </c>
      <c r="D12" s="44" t="n">
        <v>4</v>
      </c>
      <c r="E12" s="9" t="inlineStr">
        <is>
          <t>Security Hub HIPAA pack bật từ Phase 2; audit trước Phase 7 cutover</t>
        </is>
      </c>
      <c r="F12" s="9" t="inlineStr">
        <is>
          <t>Security Team</t>
        </is>
      </c>
      <c r="G12" s="21" t="inlineStr">
        <is>
          <t>Phase 2+</t>
        </is>
      </c>
      <c r="H12" s="46" t="inlineStr">
        <is>
          <t>OPEN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8" customWidth="1" min="4" max="4"/>
    <col width="25" customWidth="1" min="5" max="5"/>
  </cols>
  <sheetData>
    <row r="1">
      <c r="A1" s="11" t="inlineStr">
        <is>
          <t>ƯỚC TÍNH CHI PHÍ AWS — VinHealth Medical Group</t>
        </is>
      </c>
    </row>
    <row r="2">
      <c r="A2" s="3" t="inlineStr">
        <is>
          <t>Dịch vụ AWS</t>
        </is>
      </c>
      <c r="B2" s="3" t="inlineStr">
        <is>
          <t>Cấu hình</t>
        </is>
      </c>
      <c r="C2" s="3" t="inlineStr">
        <is>
          <t>USD/tháng</t>
        </is>
      </c>
      <c r="D2" s="3" t="inlineStr">
        <is>
          <t>VNĐ/tháng (×25,000)</t>
        </is>
      </c>
      <c r="E2" s="3" t="inlineStr">
        <is>
          <t>Ghi chú</t>
        </is>
      </c>
    </row>
    <row r="3" ht="20" customHeight="1">
      <c r="A3" s="5" t="inlineStr">
        <is>
          <t>Amazon RDS Multi-AZ</t>
        </is>
      </c>
      <c r="B3" s="6" t="inlineStr">
        <is>
          <t>db.r6g.xlarge × 2 AZ</t>
        </is>
      </c>
      <c r="C3" s="53" t="n">
        <v>650</v>
      </c>
      <c r="D3" s="54">
        <f>C3*25000</f>
        <v/>
      </c>
      <c r="E3" s="55" t="inlineStr">
        <is>
          <t>Reserved 1 năm giảm 40%</t>
        </is>
      </c>
    </row>
    <row r="4" ht="20" customHeight="1">
      <c r="A4" s="8" t="inlineStr">
        <is>
          <t>Amazon EC2 (EHR App)</t>
        </is>
      </c>
      <c r="B4" s="9" t="inlineStr">
        <is>
          <t>m5.xlarge × 2 (Auto Scaling)</t>
        </is>
      </c>
      <c r="C4" s="56" t="n">
        <v>280</v>
      </c>
      <c r="D4" s="57">
        <f>C4*25000</f>
        <v/>
      </c>
      <c r="E4" s="58" t="inlineStr">
        <is>
          <t>Reserved Instance</t>
        </is>
      </c>
    </row>
    <row r="5" ht="20" customHeight="1">
      <c r="A5" s="5" t="inlineStr">
        <is>
          <t>Amazon ECS Fargate</t>
        </is>
      </c>
      <c r="B5" s="6" t="inlineStr">
        <is>
          <t>4 vCPU, 8GB avg</t>
        </is>
      </c>
      <c r="C5" s="53" t="n">
        <v>150</v>
      </c>
      <c r="D5" s="54">
        <f>C5*25000</f>
        <v/>
      </c>
      <c r="E5" s="55" t="inlineStr">
        <is>
          <t>Pay per task — serverless</t>
        </is>
      </c>
    </row>
    <row r="6" ht="20" customHeight="1">
      <c r="A6" s="8" t="inlineStr">
        <is>
          <t>Amazon S3 (PACS + Logs)</t>
        </is>
      </c>
      <c r="B6" s="9" t="inlineStr">
        <is>
          <t>~10 TB/tháng Intelligent-Tiering</t>
        </is>
      </c>
      <c r="C6" s="56" t="n">
        <v>230</v>
      </c>
      <c r="D6" s="57">
        <f>C6*25000</f>
        <v/>
      </c>
      <c r="E6" s="58" t="inlineStr">
        <is>
          <t>Lifecycle → Glacier sau 90 ngày</t>
        </is>
      </c>
    </row>
    <row r="7" ht="20" customHeight="1">
      <c r="A7" s="5" t="inlineStr">
        <is>
          <t>AWS Transit Gateway</t>
        </is>
      </c>
      <c r="B7" s="6" t="inlineStr">
        <is>
          <t>3 VPC attachments + data proc.</t>
        </is>
      </c>
      <c r="C7" s="53" t="n">
        <v>180</v>
      </c>
      <c r="D7" s="54">
        <f>C7*25000</f>
        <v/>
      </c>
      <c r="E7" s="55" t="inlineStr">
        <is>
          <t>Data processing: $0.02/GB</t>
        </is>
      </c>
    </row>
    <row r="8" ht="20" customHeight="1">
      <c r="A8" s="8" t="inlineStr">
        <is>
          <t>AWS Network Firewall</t>
        </is>
      </c>
      <c r="B8" s="9" t="inlineStr">
        <is>
          <t>Standard — stateful + stateless</t>
        </is>
      </c>
      <c r="C8" s="56" t="n">
        <v>200</v>
      </c>
      <c r="D8" s="57">
        <f>C8*25000</f>
        <v/>
      </c>
      <c r="E8" s="58" t="inlineStr">
        <is>
          <t>Per endpoint/hour</t>
        </is>
      </c>
    </row>
    <row r="9" ht="20" customHeight="1">
      <c r="A9" s="5" t="inlineStr">
        <is>
          <t>CloudFront + WAF</t>
        </is>
      </c>
      <c r="B9" s="6" t="inlineStr">
        <is>
          <t>~1TB transfer + WAF managed rules</t>
        </is>
      </c>
      <c r="C9" s="53" t="n">
        <v>100</v>
      </c>
      <c r="D9" s="54">
        <f>C9*25000</f>
        <v/>
      </c>
      <c r="E9" s="55" t="inlineStr">
        <is>
          <t>OWASP Top 10 managed rules</t>
        </is>
      </c>
    </row>
    <row r="10" ht="20" customHeight="1">
      <c r="A10" s="8" t="inlineStr">
        <is>
          <t>Amazon WorkSpaces</t>
        </is>
      </c>
      <c r="B10" s="9" t="inlineStr">
        <is>
          <t>50 Standard Bundles</t>
        </is>
      </c>
      <c r="C10" s="56" t="n">
        <v>800</v>
      </c>
      <c r="D10" s="57">
        <f>C10*25000</f>
        <v/>
      </c>
      <c r="E10" s="58" t="inlineStr">
        <is>
          <t>$16/user/tháng</t>
        </is>
      </c>
    </row>
    <row r="11" ht="20" customHeight="1">
      <c r="A11" s="5" t="inlineStr">
        <is>
          <t>AWS IoT Core + Kinesis</t>
        </is>
      </c>
      <c r="B11" s="6" t="inlineStr">
        <is>
          <t>~500K msgs/ngày + On-Demand</t>
        </is>
      </c>
      <c r="C11" s="53" t="n">
        <v>120</v>
      </c>
      <c r="D11" s="54">
        <f>C11*25000</f>
        <v/>
      </c>
      <c r="E11" s="55" t="inlineStr">
        <is>
          <t>Kinesis On-Demand mode</t>
        </is>
      </c>
    </row>
    <row r="12" ht="20" customHeight="1">
      <c r="A12" s="8" t="inlineStr">
        <is>
          <t>Security Hub + GuardDuty</t>
        </is>
      </c>
      <c r="B12" s="9" t="inlineStr">
        <is>
          <t>Standard tier</t>
        </is>
      </c>
      <c r="C12" s="56" t="n">
        <v>180</v>
      </c>
      <c r="D12" s="57">
        <f>C12*25000</f>
        <v/>
      </c>
      <c r="E12" s="58" t="inlineStr">
        <is>
          <t>Per finding/event</t>
        </is>
      </c>
    </row>
    <row r="13" ht="20" customHeight="1">
      <c r="A13" s="5" t="inlineStr">
        <is>
          <t>AWS Directory Service</t>
        </is>
      </c>
      <c r="B13" s="6" t="inlineStr">
        <is>
          <t>Microsoft Managed AD</t>
        </is>
      </c>
      <c r="C13" s="53" t="n">
        <v>100</v>
      </c>
      <c r="D13" s="54">
        <f>C13*25000</f>
        <v/>
      </c>
      <c r="E13" s="55" t="inlineStr">
        <is>
          <t>Tích hợp WorkSpaces + SSO</t>
        </is>
      </c>
    </row>
    <row r="14" ht="20" customHeight="1">
      <c r="A14" s="8" t="inlineStr">
        <is>
          <t>ElastiCache Redis</t>
        </is>
      </c>
      <c r="B14" s="9" t="inlineStr">
        <is>
          <t>r6g.large</t>
        </is>
      </c>
      <c r="C14" s="56" t="n">
        <v>130</v>
      </c>
      <c r="D14" s="57">
        <f>C14*25000</f>
        <v/>
      </c>
      <c r="E14" s="58" t="inlineStr">
        <is>
          <t>Session cache EHR</t>
        </is>
      </c>
    </row>
    <row r="15" ht="20" customHeight="1">
      <c r="A15" s="5" t="inlineStr">
        <is>
          <t>HealthLake Imaging + HealthLake</t>
        </is>
      </c>
      <c r="B15" s="6" t="inlineStr">
        <is>
          <t>DICOM Web + FHIR R4</t>
        </is>
      </c>
      <c r="C15" s="53" t="n">
        <v>180</v>
      </c>
      <c r="D15" s="54">
        <f>C15*25000</f>
        <v/>
      </c>
      <c r="E15" s="55" t="inlineStr">
        <is>
          <t>HIPAA eligible services</t>
        </is>
      </c>
    </row>
    <row r="16" ht="20" customHeight="1">
      <c r="A16" s="8" t="inlineStr">
        <is>
          <t>CloudWatch + Config + CloudTrail</t>
        </is>
      </c>
      <c r="B16" s="9" t="inlineStr">
        <is>
          <t>Custom metrics + conformance pack</t>
        </is>
      </c>
      <c r="C16" s="56" t="n">
        <v>100</v>
      </c>
      <c r="D16" s="57">
        <f>C16*25000</f>
        <v/>
      </c>
      <c r="E16" s="58" t="inlineStr">
        <is>
          <t>Monitoring &amp; audit</t>
        </is>
      </c>
    </row>
    <row r="17" ht="20" customHeight="1">
      <c r="A17" s="5" t="inlineStr">
        <is>
          <t>ALB + Route 53 + ACM + Lambda</t>
        </is>
      </c>
      <c r="B17" s="6" t="inlineStr">
        <is>
          <t>Load balancer, DNS, TLS, serverless</t>
        </is>
      </c>
      <c r="C17" s="53" t="n">
        <v>70</v>
      </c>
      <c r="D17" s="54">
        <f>C17*25000</f>
        <v/>
      </c>
      <c r="E17" s="55" t="inlineStr">
        <is>
          <t>ACM cert miễn phí</t>
        </is>
      </c>
    </row>
    <row r="18" ht="20" customHeight="1">
      <c r="A18" s="8" t="inlineStr">
        <is>
          <t>AWS Backup + KMS + Misc</t>
        </is>
      </c>
      <c r="B18" s="9" t="inlineStr">
        <is>
          <t>Backup vaults + keys + data transfer</t>
        </is>
      </c>
      <c r="C18" s="56" t="n">
        <v>120</v>
      </c>
      <c r="D18" s="57">
        <f>C18*25000</f>
        <v/>
      </c>
      <c r="E18" s="58" t="inlineStr">
        <is>
          <t>Bao gồm data transfer</t>
        </is>
      </c>
    </row>
    <row r="19" ht="24" customHeight="1">
      <c r="A19" s="38" t="inlineStr">
        <is>
          <t>TỔNG CỘNG ƯỚC TÍNH (On-Demand)</t>
        </is>
      </c>
      <c r="C19" s="59">
        <f>SUM(C3:C18)</f>
        <v/>
      </c>
      <c r="D19" s="60">
        <f>SUM(D3:D18)</f>
        <v/>
      </c>
      <c r="E19" s="41" t="inlineStr">
        <is>
          <t>≈ 77 triệu VNĐ/tháng (On-Demand)</t>
        </is>
      </c>
    </row>
    <row r="20">
      <c r="A20" s="61" t="inlineStr">
        <is>
          <t>TỔNG CỘNG (Reserved 1 năm — tiết kiệm ~35%)</t>
        </is>
      </c>
      <c r="C20" s="62">
        <f>C19*0.65</f>
        <v/>
      </c>
      <c r="D20" s="63">
        <f>D19*0.65</f>
        <v/>
      </c>
      <c r="E20" s="64" t="inlineStr">
        <is>
          <t>RDS + EC2 Reserved 1 năm + Fargate Savings Plan</t>
        </is>
      </c>
    </row>
  </sheetData>
  <mergeCells count="3">
    <mergeCell ref="A20:B20"/>
    <mergeCell ref="A1:E1"/>
    <mergeCell ref="A19: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15" customWidth="1" min="4" max="4"/>
    <col width="20" customWidth="1" min="5" max="5"/>
  </cols>
  <sheetData>
    <row r="1">
      <c r="A1" s="65" t="inlineStr">
        <is>
          <t>CHECKLIST NGHIỆM THU — 4 KỊCH BẢN TEST</t>
        </is>
      </c>
    </row>
    <row r="2">
      <c r="A2" s="3" t="inlineStr">
        <is>
          <t>#</t>
        </is>
      </c>
      <c r="B2" s="3" t="inlineStr">
        <is>
          <t>Hạng mục kiểm thử</t>
        </is>
      </c>
      <c r="C2" s="3" t="inlineStr">
        <is>
          <t>Tiêu chí Pass</t>
        </is>
      </c>
      <c r="D2" s="3" t="inlineStr">
        <is>
          <t>Kết quả</t>
        </is>
      </c>
      <c r="E2" s="3" t="inlineStr">
        <is>
          <t>Ghi chú</t>
        </is>
      </c>
    </row>
    <row r="3" ht="18" customHeight="1">
      <c r="A3" s="66" t="inlineStr"/>
      <c r="B3" s="41" t="inlineStr">
        <is>
          <t>═══ KỊCH BẢN 1: HIGH AVAILABILITY / FAILOVER ═══</t>
        </is>
      </c>
      <c r="C3" s="67" t="inlineStr"/>
      <c r="D3" s="68" t="inlineStr"/>
      <c r="E3" s="69" t="inlineStr"/>
    </row>
    <row r="4" ht="22" customHeight="1">
      <c r="A4" s="15" t="inlineStr">
        <is>
          <t>1.1</t>
        </is>
      </c>
      <c r="B4" s="9" t="inlineStr">
        <is>
          <t>RDS Multi-AZ Failover tự động</t>
        </is>
      </c>
      <c r="C4" s="9" t="inlineStr">
        <is>
          <t>Failover &lt; 30 giây, không mất transaction</t>
        </is>
      </c>
      <c r="D4" s="70" t="inlineStr">
        <is>
          <t>PENDING</t>
        </is>
      </c>
      <c r="E4" s="58" t="inlineStr">
        <is>
          <t>Reboot RDS primary instance</t>
        </is>
      </c>
    </row>
    <row r="5" ht="22" customHeight="1">
      <c r="A5" s="12" t="inlineStr">
        <is>
          <t>1.2</t>
        </is>
      </c>
      <c r="B5" s="6" t="inlineStr">
        <is>
          <t>ALB health check failover EC2</t>
        </is>
      </c>
      <c r="C5" s="6" t="inlineStr">
        <is>
          <t>Traffic chuyển sang healthy instance &lt; 10s</t>
        </is>
      </c>
      <c r="D5" s="71" t="inlineStr">
        <is>
          <t>PENDING</t>
        </is>
      </c>
      <c r="E5" s="55" t="inlineStr">
        <is>
          <t>Stop 1 EC2 trong ASG</t>
        </is>
      </c>
    </row>
    <row r="6" ht="22" customHeight="1">
      <c r="A6" s="15" t="inlineStr">
        <is>
          <t>1.3</t>
        </is>
      </c>
      <c r="B6" s="9" t="inlineStr">
        <is>
          <t>Route 53 health check failover</t>
        </is>
      </c>
      <c r="C6" s="9" t="inlineStr">
        <is>
          <t>DNS failover sang region backup</t>
        </is>
      </c>
      <c r="D6" s="70" t="inlineStr">
        <is>
          <t>PENDING</t>
        </is>
      </c>
      <c r="E6" s="58" t="inlineStr">
        <is>
          <t>Fail primary endpoint</t>
        </is>
      </c>
    </row>
    <row r="7" ht="22" customHeight="1">
      <c r="A7" s="12" t="inlineStr">
        <is>
          <t>1.4</t>
        </is>
      </c>
      <c r="B7" s="6" t="inlineStr">
        <is>
          <t>IoT Greengrass offline buffer</t>
        </is>
      </c>
      <c r="C7" s="6" t="inlineStr">
        <is>
          <t>Vital signs lưu local, sync sau khi online</t>
        </is>
      </c>
      <c r="D7" s="71" t="inlineStr">
        <is>
          <t>PENDING</t>
        </is>
      </c>
      <c r="E7" s="55" t="inlineStr">
        <is>
          <t>Ngắt internet IoT gateway</t>
        </is>
      </c>
    </row>
    <row r="8" ht="18" customHeight="1">
      <c r="A8" s="66" t="inlineStr"/>
      <c r="B8" s="41" t="inlineStr">
        <is>
          <t>═══ KỊCH BẢN 2: SECURITY PENETRATION TEST ═══</t>
        </is>
      </c>
      <c r="C8" s="67" t="inlineStr"/>
      <c r="D8" s="68" t="inlineStr"/>
      <c r="E8" s="69" t="inlineStr"/>
    </row>
    <row r="9" ht="22" customHeight="1">
      <c r="A9" s="12" t="inlineStr">
        <is>
          <t>2.1</t>
        </is>
      </c>
      <c r="B9" s="6" t="inlineStr">
        <is>
          <t>AWS Inspector vulnerability scan</t>
        </is>
      </c>
      <c r="C9" s="6" t="inlineStr">
        <is>
          <t>0 CVSS Critical, 0 CVSS High unpatched</t>
        </is>
      </c>
      <c r="D9" s="71" t="inlineStr">
        <is>
          <t>PENDING</t>
        </is>
      </c>
      <c r="E9" s="55" t="inlineStr">
        <is>
          <t>Scan EC2 + ECS containers</t>
        </is>
      </c>
    </row>
    <row r="10" ht="22" customHeight="1">
      <c r="A10" s="15" t="inlineStr">
        <is>
          <t>2.2</t>
        </is>
      </c>
      <c r="B10" s="9" t="inlineStr">
        <is>
          <t>WAF block SQL Injection</t>
        </is>
      </c>
      <c r="C10" s="9" t="inlineStr">
        <is>
          <t>100% SQLi requests blocked, log đầy đủ</t>
        </is>
      </c>
      <c r="D10" s="70" t="inlineStr">
        <is>
          <t>PENDING</t>
        </is>
      </c>
      <c r="E10" s="58" t="inlineStr">
        <is>
          <t>OWASP SQLmap test</t>
        </is>
      </c>
    </row>
    <row r="11" ht="22" customHeight="1">
      <c r="A11" s="12" t="inlineStr">
        <is>
          <t>2.3</t>
        </is>
      </c>
      <c r="B11" s="6" t="inlineStr">
        <is>
          <t>WAF block XSS attacks</t>
        </is>
      </c>
      <c r="C11" s="6" t="inlineStr">
        <is>
          <t>100% XSS requests blocked</t>
        </is>
      </c>
      <c r="D11" s="71" t="inlineStr">
        <is>
          <t>PENDING</t>
        </is>
      </c>
      <c r="E11" s="55" t="inlineStr">
        <is>
          <t>OWASP XSS test vectors</t>
        </is>
      </c>
    </row>
    <row r="12" ht="22" customHeight="1">
      <c r="A12" s="15" t="inlineStr">
        <is>
          <t>2.4</t>
        </is>
      </c>
      <c r="B12" s="9" t="inlineStr">
        <is>
          <t>IAM privilege escalation test</t>
        </is>
      </c>
      <c r="C12" s="9" t="inlineStr">
        <is>
          <t>Không thể leo thang quyền từ limited user</t>
        </is>
      </c>
      <c r="D12" s="70" t="inlineStr">
        <is>
          <t>PENDING</t>
        </is>
      </c>
      <c r="E12" s="58" t="inlineStr">
        <is>
          <t>Pacu framework test</t>
        </is>
      </c>
    </row>
    <row r="13" ht="22" customHeight="1">
      <c r="A13" s="12" t="inlineStr">
        <is>
          <t>2.5</t>
        </is>
      </c>
      <c r="B13" s="6" t="inlineStr">
        <is>
          <t>Network Firewall block lateral movement</t>
        </is>
      </c>
      <c r="C13" s="6" t="inlineStr">
        <is>
          <t>VLAN-to-VLAN (VPC subnet) không pass</t>
        </is>
      </c>
      <c r="D13" s="71" t="inlineStr">
        <is>
          <t>PENDING</t>
        </is>
      </c>
      <c r="E13" s="55" t="inlineStr">
        <is>
          <t>Nmap từ public subnet → private</t>
        </is>
      </c>
    </row>
    <row r="14" ht="18" customHeight="1">
      <c r="A14" s="66" t="inlineStr"/>
      <c r="B14" s="41" t="inlineStr">
        <is>
          <t>═══ KỊCH BẢN 3: IoT REAL-TIME VITAL SIGNS ═══</t>
        </is>
      </c>
      <c r="C14" s="67" t="inlineStr"/>
      <c r="D14" s="68" t="inlineStr"/>
      <c r="E14" s="69" t="inlineStr"/>
    </row>
    <row r="15" ht="22" customHeight="1">
      <c r="A15" s="12" t="inlineStr">
        <is>
          <t>3.1</t>
        </is>
      </c>
      <c r="B15" s="6" t="inlineStr">
        <is>
          <t>Latency IoT → CloudWatch Dashboard</t>
        </is>
      </c>
      <c r="C15" s="6" t="inlineStr">
        <is>
          <t>P99 &lt; 500ms end-to-end</t>
        </is>
      </c>
      <c r="D15" s="71" t="inlineStr">
        <is>
          <t>PENDING</t>
        </is>
      </c>
      <c r="E15" s="55" t="inlineStr">
        <is>
          <t>1000 events/phút simulator</t>
        </is>
      </c>
    </row>
    <row r="16" ht="22" customHeight="1">
      <c r="A16" s="15" t="inlineStr">
        <is>
          <t>3.2</t>
        </is>
      </c>
      <c r="B16" s="9" t="inlineStr">
        <is>
          <t>Kinesis Data Streams throughput</t>
        </is>
      </c>
      <c r="C16" s="9" t="inlineStr">
        <is>
          <t>Zero data loss tại 500K msg/ngày</t>
        </is>
      </c>
      <c r="D16" s="70" t="inlineStr">
        <is>
          <t>PENDING</t>
        </is>
      </c>
      <c r="E16" s="58" t="inlineStr">
        <is>
          <t>Load test với AWS IoT Device SDK</t>
        </is>
      </c>
    </row>
    <row r="17" ht="22" customHeight="1">
      <c r="A17" s="12" t="inlineStr">
        <is>
          <t>3.3</t>
        </is>
      </c>
      <c r="B17" s="6" t="inlineStr">
        <is>
          <t>Lambda alert ngưỡng nguy hiểm</t>
        </is>
      </c>
      <c r="C17" s="6" t="inlineStr">
        <is>
          <t>Alert SNS &lt; 5 giây khi HR &gt; 120 hoặc SpO2 &lt; 90</t>
        </is>
      </c>
      <c r="D17" s="71" t="inlineStr">
        <is>
          <t>PENDING</t>
        </is>
      </c>
      <c r="E17" s="55" t="inlineStr">
        <is>
          <t>Inject synthetic vital data</t>
        </is>
      </c>
    </row>
    <row r="18" ht="22" customHeight="1">
      <c r="A18" s="15" t="inlineStr">
        <is>
          <t>3.4</t>
        </is>
      </c>
      <c r="B18" s="9" t="inlineStr">
        <is>
          <t>HealthLake FHIR R4 compliance</t>
        </is>
      </c>
      <c r="C18" s="9" t="inlineStr">
        <is>
          <t>FHIR resource validation pass</t>
        </is>
      </c>
      <c r="D18" s="70" t="inlineStr">
        <is>
          <t>PENDING</t>
        </is>
      </c>
      <c r="E18" s="58" t="inlineStr">
        <is>
          <t>FHIR validator tool</t>
        </is>
      </c>
    </row>
    <row r="19" ht="18" customHeight="1">
      <c r="A19" s="66" t="inlineStr"/>
      <c r="B19" s="41" t="inlineStr">
        <is>
          <t>═══ KỊCH BẢN 4: BACKUP &amp; RESTORE ═══</t>
        </is>
      </c>
      <c r="C19" s="67" t="inlineStr"/>
      <c r="D19" s="68" t="inlineStr"/>
      <c r="E19" s="69" t="inlineStr"/>
    </row>
    <row r="20" ht="22" customHeight="1">
      <c r="A20" s="15" t="inlineStr">
        <is>
          <t>4.1</t>
        </is>
      </c>
      <c r="B20" s="9" t="inlineStr">
        <is>
          <t>RDS point-in-time restore</t>
        </is>
      </c>
      <c r="C20" s="9" t="inlineStr">
        <is>
          <t>Restore database về thời điểm 1h trước</t>
        </is>
      </c>
      <c r="D20" s="70" t="inlineStr">
        <is>
          <t>PENDING</t>
        </is>
      </c>
      <c r="E20" s="58" t="inlineStr">
        <is>
          <t>Xóa 1 bảng EHR test</t>
        </is>
      </c>
    </row>
    <row r="21" ht="22" customHeight="1">
      <c r="A21" s="12" t="inlineStr">
        <is>
          <t>4.2</t>
        </is>
      </c>
      <c r="B21" s="6" t="inlineStr">
        <is>
          <t>S3 versioning restore DICOM</t>
        </is>
      </c>
      <c r="C21" s="6" t="inlineStr">
        <is>
          <t>Khôi phục ảnh DICOM bị xóa nhầm</t>
        </is>
      </c>
      <c r="D21" s="71" t="inlineStr">
        <is>
          <t>PENDING</t>
        </is>
      </c>
      <c r="E21" s="55" t="inlineStr">
        <is>
          <t>Delete object, restore version</t>
        </is>
      </c>
    </row>
    <row r="22" ht="22" customHeight="1">
      <c r="A22" s="15" t="inlineStr">
        <is>
          <t>4.3</t>
        </is>
      </c>
      <c r="B22" s="9" t="inlineStr">
        <is>
          <t>EC2 AMI restore từ AWS Backup</t>
        </is>
      </c>
      <c r="C22" s="9" t="inlineStr">
        <is>
          <t>EC2 hoạt động bình thường sau restore</t>
        </is>
      </c>
      <c r="D22" s="70" t="inlineStr">
        <is>
          <t>PENDING</t>
        </is>
      </c>
      <c r="E22" s="58" t="inlineStr">
        <is>
          <t>Terminate instance, restore AMI</t>
        </is>
      </c>
    </row>
    <row r="23" ht="22" customHeight="1">
      <c r="A23" s="12" t="inlineStr">
        <is>
          <t>4.4</t>
        </is>
      </c>
      <c r="B23" s="6" t="inlineStr">
        <is>
          <t>RTO thực tế đo lường</t>
        </is>
      </c>
      <c r="C23" s="6" t="inlineStr">
        <is>
          <t>RTO &lt; 30 phút cho EHR database</t>
        </is>
      </c>
      <c r="D23" s="71" t="inlineStr">
        <is>
          <t>PENDING</t>
        </is>
      </c>
      <c r="E23" s="55" t="inlineStr">
        <is>
          <t>Ghi thời gian bắt đầu → hoàn thành</t>
        </is>
      </c>
    </row>
    <row r="24" ht="18" customHeight="1">
      <c r="A24" s="66" t="inlineStr"/>
      <c r="B24" s="41" t="inlineStr">
        <is>
          <t>═══ COMPLIANCE CHECKS ═══</t>
        </is>
      </c>
      <c r="C24" s="67" t="inlineStr"/>
      <c r="D24" s="68" t="inlineStr"/>
      <c r="E24" s="69" t="inlineStr"/>
    </row>
    <row r="25" ht="22" customHeight="1">
      <c r="A25" s="12" t="inlineStr">
        <is>
          <t>5.1</t>
        </is>
      </c>
      <c r="B25" s="6" t="inlineStr">
        <is>
          <t>Security Hub HIPAA conformance pack</t>
        </is>
      </c>
      <c r="C25" s="6" t="inlineStr">
        <is>
          <t>Compliance score ≥ 90%</t>
        </is>
      </c>
      <c r="D25" s="71" t="inlineStr">
        <is>
          <t>PENDING</t>
        </is>
      </c>
      <c r="E25" s="55" t="inlineStr">
        <is>
          <t>AWS Security Hub console</t>
        </is>
      </c>
    </row>
    <row r="26" ht="22" customHeight="1">
      <c r="A26" s="15" t="inlineStr">
        <is>
          <t>5.2</t>
        </is>
      </c>
      <c r="B26" s="9" t="inlineStr">
        <is>
          <t>Config non-compliant rules</t>
        </is>
      </c>
      <c r="C26" s="9" t="inlineStr">
        <is>
          <t>0 non-compliant trong 48h liên tiếp</t>
        </is>
      </c>
      <c r="D26" s="70" t="inlineStr">
        <is>
          <t>PENDING</t>
        </is>
      </c>
      <c r="E26" s="58" t="inlineStr">
        <is>
          <t>AWS Config dashboard</t>
        </is>
      </c>
    </row>
    <row r="27" ht="22" customHeight="1">
      <c r="A27" s="12" t="inlineStr">
        <is>
          <t>5.3</t>
        </is>
      </c>
      <c r="B27" s="6" t="inlineStr">
        <is>
          <t>CloudTrail immutable audit log</t>
        </is>
      </c>
      <c r="C27" s="6" t="inlineStr">
        <is>
          <t>12 tháng log trong S3 Glacier Object Lock</t>
        </is>
      </c>
      <c r="D27" s="71" t="inlineStr">
        <is>
          <t>PENDING</t>
        </is>
      </c>
      <c r="E27" s="55" t="inlineStr">
        <is>
          <t>Verify Object Lock WORM</t>
        </is>
      </c>
    </row>
    <row r="28" ht="22" customHeight="1">
      <c r="A28" s="15" t="inlineStr">
        <is>
          <t>5.4</t>
        </is>
      </c>
      <c r="B28" s="9" t="inlineStr">
        <is>
          <t>All data encrypted at rest</t>
        </is>
      </c>
      <c r="C28" s="9" t="inlineStr">
        <is>
          <t>KMS key rotation enabled, 100% encrypted</t>
        </is>
      </c>
      <c r="D28" s="70" t="inlineStr">
        <is>
          <t>PENDING</t>
        </is>
      </c>
      <c r="E28" s="58" t="inlineStr">
        <is>
          <t>AWS Config rule: encrypted-volumes</t>
        </is>
      </c>
    </row>
    <row r="29" ht="22" customHeight="1">
      <c r="A29" s="12" t="inlineStr">
        <is>
          <t>5.5</t>
        </is>
      </c>
      <c r="B29" s="6" t="inlineStr">
        <is>
          <t>MFA enforcement 100% users</t>
        </is>
      </c>
      <c r="C29" s="6" t="inlineStr">
        <is>
          <t>Không user nào login được không có MFA</t>
        </is>
      </c>
      <c r="D29" s="71" t="inlineStr">
        <is>
          <t>PENDING</t>
        </is>
      </c>
      <c r="E29" s="55" t="inlineStr">
        <is>
          <t>IAM policy: MFA required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2026-05-18T11:57:52Z</dcterms:created>
  <dcterms:modified xmlns:dcterms="http://purl.org/dc/terms/" xmlns:xsi="http://www.w3.org/2001/XMLSchema-instance" xsi:type="dcterms:W3CDTF">2026-05-18T11:57:52Z</dcterms:modified>
</cp:coreProperties>
</file>